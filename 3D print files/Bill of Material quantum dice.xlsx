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uantum-Dice-by-UTwente/3D print files/"/>
    </mc:Choice>
  </mc:AlternateContent>
  <xr:revisionPtr revIDLastSave="0" documentId="13_ncr:1_{E5AD8110-FC91-554F-BD39-36809DF21B19}" xr6:coauthVersionLast="47" xr6:coauthVersionMax="47" xr10:uidLastSave="{00000000-0000-0000-0000-000000000000}"/>
  <bookViews>
    <workbookView xWindow="0" yWindow="860" windowWidth="28800" windowHeight="15800" xr2:uid="{281531AD-289F-7444-9810-C417D6306E6A}"/>
  </bookViews>
  <sheets>
    <sheet name="TPUFrameOnly" sheetId="2" r:id="rId1"/>
    <sheet name="allTPU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3" l="1"/>
  <c r="C35" i="3"/>
  <c r="C34" i="3"/>
  <c r="C33" i="3"/>
  <c r="C54" i="2"/>
  <c r="C53" i="2"/>
  <c r="C52" i="2"/>
  <c r="C51" i="2"/>
  <c r="E54" i="2"/>
  <c r="D54" i="2"/>
  <c r="E52" i="2"/>
  <c r="D52" i="2"/>
  <c r="E51" i="2"/>
  <c r="D51" i="2"/>
  <c r="C35" i="2"/>
  <c r="C44" i="2"/>
  <c r="C43" i="2"/>
  <c r="C42" i="2"/>
  <c r="C41" i="2"/>
  <c r="C40" i="2"/>
  <c r="C39" i="2"/>
  <c r="C11" i="2"/>
  <c r="C21" i="3" l="1"/>
  <c r="C20" i="3"/>
  <c r="C19" i="3"/>
  <c r="C18" i="3"/>
  <c r="C17" i="3"/>
  <c r="C16" i="3"/>
  <c r="C15" i="3"/>
  <c r="C14" i="3"/>
  <c r="C13" i="3"/>
  <c r="C12" i="3"/>
  <c r="C11" i="3"/>
  <c r="C25" i="2"/>
  <c r="C13" i="2"/>
  <c r="C36" i="2"/>
  <c r="C32" i="2"/>
  <c r="C26" i="2"/>
  <c r="C27" i="2"/>
  <c r="C28" i="2"/>
  <c r="C29" i="2"/>
  <c r="C33" i="2"/>
  <c r="C34" i="2"/>
  <c r="C12" i="2"/>
  <c r="C14" i="2"/>
  <c r="C15" i="2"/>
  <c r="C16" i="2"/>
  <c r="C17" i="2"/>
  <c r="C18" i="2"/>
  <c r="C19" i="2"/>
  <c r="C20" i="2"/>
  <c r="C21" i="2"/>
  <c r="C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C1" authorId="0" shapeId="0" xr:uid="{DFB0096F-A5DB-A649-BD54-16CED2FE5E40}">
      <text>
        <r>
          <rPr>
            <b/>
            <sz val="10"/>
            <color rgb="FF000000"/>
            <rFont val="Tahoma"/>
            <family val="2"/>
          </rPr>
          <t xml:space="preserve">A set of Quantum Dices requires a Role A and a Role B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Fill in the #Role A and #Role B</t>
        </r>
      </text>
    </comment>
    <comment ref="B3" authorId="0" shapeId="0" xr:uid="{B126064D-5697-EE42-A154-2E468E42DB06}">
      <text>
        <r>
          <rPr>
            <b/>
            <sz val="10"/>
            <color rgb="FF000000"/>
            <rFont val="Tahoma"/>
            <family val="2"/>
          </rPr>
          <t>for Teleportation eperiment an extra RoleB dice is needed</t>
        </r>
      </text>
    </comment>
    <comment ref="B32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5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6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15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 plug (red) or JST-PH (2 pole), 2mm
</t>
        </r>
      </text>
    </comment>
    <comment ref="F36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>These batteries have a JST-XH 2.54 mm connector. Request a JST-PH 2.0 connector via Message Center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C1" authorId="0" shapeId="0" xr:uid="{CFE3BC6F-2491-DF42-AE84-26631EFB2E53}">
      <text>
        <r>
          <rPr>
            <sz val="10"/>
            <color rgb="FF000000"/>
            <rFont val="Tahoma"/>
            <family val="2"/>
          </rPr>
          <t xml:space="preserve">A set of Quantum Dices requires a Role A and a Role B 
</t>
        </r>
        <r>
          <rPr>
            <sz val="10"/>
            <color rgb="FF000000"/>
            <rFont val="Tahoma"/>
            <family val="2"/>
          </rPr>
          <t xml:space="preserve">Fill in the #Role A and #Role B
</t>
        </r>
      </text>
    </comment>
    <comment ref="B3" authorId="0" shapeId="0" xr:uid="{C9F00DD2-6E01-F84C-8803-820683ECAF24}">
      <text>
        <r>
          <rPr>
            <b/>
            <sz val="10"/>
            <color rgb="FF000000"/>
            <rFont val="Tahoma"/>
            <family val="2"/>
          </rPr>
          <t>for Teleportation eperiment an extra RoleB dice is needed</t>
        </r>
      </text>
    </comment>
  </commentList>
</comments>
</file>

<file path=xl/sharedStrings.xml><?xml version="1.0" encoding="utf-8"?>
<sst xmlns="http://schemas.openxmlformats.org/spreadsheetml/2006/main" count="135" uniqueCount="85">
  <si>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</si>
  <si>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</si>
  <si>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</si>
  <si>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</si>
  <si>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</si>
  <si>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</si>
  <si>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</si>
  <si>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</si>
  <si>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</si>
  <si>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</si>
  <si>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</si>
  <si>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02D_Blue_PLA_V*_display_cup_bottom</t>
  </si>
  <si>
    <t>02D_Blue_PLA_V*_display_cup_top_A</t>
  </si>
  <si>
    <t>02D_Blue_PLA_V*_display_cup_top_B</t>
  </si>
  <si>
    <t>A cube</t>
  </si>
  <si>
    <t>Bcube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</si>
  <si>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</si>
  <si>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</si>
  <si>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</si>
  <si>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</si>
  <si>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</si>
  <si>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</si>
  <si>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</si>
  <si>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</si>
  <si>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</si>
  <si>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</si>
  <si>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</si>
  <si>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</si>
  <si>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</si>
  <si>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</si>
  <si>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</si>
  <si>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</si>
  <si>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</si>
  <si>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</si>
  <si>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</si>
  <si>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</si>
  <si>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Number of dice</t>
  </si>
  <si>
    <t>dice type</t>
  </si>
  <si>
    <t>03A_White_PLA_V*_display_mount</t>
  </si>
  <si>
    <t>03B_White_PLA_V*_display_mount_PCB</t>
  </si>
  <si>
    <t>03C_White_PLA_V*_battery_holder</t>
  </si>
  <si>
    <t>Remarks</t>
  </si>
  <si>
    <t>02B_Yellow_TPU_V*_display_cup_ESP32</t>
  </si>
  <si>
    <t>02C_Red_TPU_V*_display_cup_left_right</t>
  </si>
  <si>
    <t>02D_Blue_TPU_V*_display_cup_bottom</t>
  </si>
  <si>
    <t>02D_Blue_TPU_V*_display_cup_top_A</t>
  </si>
  <si>
    <t>02D_Blue_TPU_V*_display_cup_top_B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</si>
  <si>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</si>
  <si>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</si>
  <si>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</si>
  <si>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</si>
  <si>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</si>
  <si>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</si>
  <si>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</si>
  <si>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</si>
  <si>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Quantum Dice Role A  allTPU</t>
  </si>
  <si>
    <t>Quantum Dice Role B allTPU</t>
  </si>
  <si>
    <t>Frame parts of TPU, with bumper. Cups of PLA</t>
  </si>
  <si>
    <t>Whish list</t>
  </si>
  <si>
    <t>Number of dices</t>
  </si>
  <si>
    <t>cable set, containing:</t>
  </si>
  <si>
    <t>Cable set</t>
  </si>
  <si>
    <t>support material</t>
  </si>
  <si>
    <t>Optional NOT NEEDED when a complete set is ordered @Utwnte</t>
  </si>
  <si>
    <t>Quantum Dice Role A TPUFrameOnly</t>
  </si>
  <si>
    <t>Quantum Dice Role B TPUFrameOnly</t>
  </si>
  <si>
    <t>frame parts and cups all TPU</t>
  </si>
  <si>
    <t>blue PLA</t>
  </si>
  <si>
    <t>red PLA</t>
  </si>
  <si>
    <t>yellow PLA</t>
  </si>
  <si>
    <t>TPU</t>
  </si>
  <si>
    <t>https://github.com/qlab-utwente/Quantum-Dice-by-UTwente/tree/main/3D%20print%20files/quantum%20dice%203D%20print%20parts%20TPUFrameOnly</t>
  </si>
  <si>
    <t>https://github.com/qlab-utwente/Quantum-Dice-by-UTwente/tree/main/3D%20print%20files/quantum%20dice%203D%20print%20parts%20AllTPU</t>
  </si>
  <si>
    <t>blue TPU</t>
  </si>
  <si>
    <t>red TPU</t>
  </si>
  <si>
    <t>yellow TPU</t>
  </si>
  <si>
    <t>frame TPU</t>
  </si>
  <si>
    <t>backplanes white PLA</t>
  </si>
  <si>
    <t>tbd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</si>
  <si>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</si>
  <si>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</si>
  <si>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</si>
  <si>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1100mAh 20C1100mAh, model xx3048</t>
  </si>
  <si>
    <t>https://www.aliexpress.us/item/3256809160966846.html?gatewayAdapt=glo2usa4itemAdapt</t>
  </si>
  <si>
    <t>see tab "TPUFrameOnly"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</si>
</sst>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8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0" fillId="0" borderId="0" xfId="0" applyNumberFormat="1"/>
    <xf numFmtId="1" fontId="3" fillId="0" borderId="0" xfId="2" applyNumberFormat="1" applyFont="1"/>
    <xf numFmtId="1" fontId="3" fillId="0" borderId="0" xfId="0" applyNumberFormat="1" applyFont="1"/>
    <xf numFmtId="0" fontId="7" fillId="0" borderId="0" xfId="0" applyFont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github.com/qlab-utwente/Quantum-Dice-by-UTwente/tree/main/3D%20print%20files/quantum%20dice%203D%20print%20parts%20TPUFrameOnly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github.com/qlab-utwente/Quantum-Dice-by-UTwente/tree/main/3D%20print%20files/quantum%20dice%203D%20print%20parts%20TPUFrameOnly" TargetMode="Externa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www.aliexpress.us/item/3256809160966846.html?gatewayAdapt=glo2usa4itemAdapt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F54"/>
  <sheetViews>
    <sheetView tabSelected="1" workbookViewId="0">
      <selection activeCell="D5" sqref="D5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8" style="5" customWidth="1"/>
    <col min="6" max="6" width="112.5" customWidth="1"/>
  </cols>
  <sheetData>
    <row r="1" spans="1:6" x14ac:dyDescent="0.2">
      <c r="A1" s="2" t="s">
        <v>20</v>
      </c>
      <c r="B1" s="2" t="s">
        <v>37</v>
      </c>
      <c r="C1" s="2" t="s">
        <v>36</v>
      </c>
      <c r="D1" s="6"/>
      <c r="E1" s="7"/>
      <c r="F1" s="2" t="s">
        <v>41</v>
      </c>
    </row>
    <row r="2" spans="1:6" x14ac:dyDescent="0.2">
      <c r="B2" t="s">
        <v>64</v>
      </c>
      <c r="C2">
        <v>1</v>
      </c>
      <c r="F2" t="s">
        <v>57</v>
      </c>
    </row>
    <row r="3" spans="1:6" x14ac:dyDescent="0.2">
      <c r="B3" t="s">
        <v>65</v>
      </c>
      <c r="C3">
        <v>1</v>
      </c>
      <c r="F3" t="s">
        <v>57</v>
      </c>
    </row>
    <row r="9" spans="1:6" x14ac:dyDescent="0.2">
      <c r="A9" s="2" t="s">
        <v>50</v>
      </c>
    </row>
    <row r="10" spans="1:6" x14ac:dyDescent="0.2">
      <c r="B10" s="2" t="s">
        <v>1</v>
      </c>
      <c r="C10" t="s">
        <v>3</v>
      </c>
      <c r="D10" s="4" t="s">
        <v>14</v>
      </c>
      <c r="E10" s="4" t="s">
        <v>15</v>
      </c>
      <c r="F10" t="s">
        <v>22</v>
      </c>
    </row>
    <row r="11" spans="1:6" x14ac:dyDescent="0.2">
      <c r="B11" t="s">
        <v>8</v>
      </c>
      <c r="C11">
        <f>$C$2*D11+$C$3*E11</f>
        <v>2</v>
      </c>
      <c r="D11" s="4">
        <v>1</v>
      </c>
      <c r="E11" s="4">
        <v>1</v>
      </c>
      <c r="F11" s="1" t="s">
        <v>71</v>
      </c>
    </row>
    <row r="12" spans="1:6" x14ac:dyDescent="0.2">
      <c r="B12" t="s">
        <v>7</v>
      </c>
      <c r="C12">
        <f t="shared" ref="C12:C36" si="0">$C$2*D12+$C$3*E12</f>
        <v>2</v>
      </c>
      <c r="D12" s="4">
        <v>1</v>
      </c>
      <c r="E12" s="4">
        <v>1</v>
      </c>
      <c r="F12" s="1" t="s">
        <v>71</v>
      </c>
    </row>
    <row r="13" spans="1:6" x14ac:dyDescent="0.2">
      <c r="B13" t="s">
        <v>21</v>
      </c>
      <c r="C13">
        <f t="shared" si="0"/>
        <v>4</v>
      </c>
      <c r="D13" s="4">
        <v>2</v>
      </c>
      <c r="E13" s="4">
        <v>2</v>
      </c>
      <c r="F13" s="1" t="s">
        <v>71</v>
      </c>
    </row>
    <row r="14" spans="1:6" x14ac:dyDescent="0.2">
      <c r="B14" t="s">
        <v>54</v>
      </c>
      <c r="C14">
        <f t="shared" si="0"/>
        <v>2</v>
      </c>
      <c r="D14" s="4">
        <v>1</v>
      </c>
      <c r="E14" s="4">
        <v>1</v>
      </c>
      <c r="F14" s="1" t="s">
        <v>71</v>
      </c>
    </row>
    <row r="15" spans="1:6" x14ac:dyDescent="0.2">
      <c r="B15" t="s">
        <v>9</v>
      </c>
      <c r="C15">
        <f t="shared" si="0"/>
        <v>2</v>
      </c>
      <c r="D15" s="4">
        <v>1</v>
      </c>
      <c r="E15" s="4">
        <v>1</v>
      </c>
      <c r="F15" s="1" t="s">
        <v>71</v>
      </c>
    </row>
    <row r="16" spans="1:6" x14ac:dyDescent="0.2">
      <c r="B16" t="s">
        <v>10</v>
      </c>
      <c r="C16">
        <f t="shared" si="0"/>
        <v>4</v>
      </c>
      <c r="D16" s="4">
        <v>2</v>
      </c>
      <c r="E16" s="4">
        <v>2</v>
      </c>
      <c r="F16" s="1" t="s">
        <v>71</v>
      </c>
    </row>
    <row r="17" spans="2:6" x14ac:dyDescent="0.2">
      <c r="B17" t="s">
        <v>11</v>
      </c>
      <c r="C17">
        <f t="shared" si="0"/>
        <v>2</v>
      </c>
      <c r="D17" s="4">
        <v>1</v>
      </c>
      <c r="E17" s="4">
        <v>1</v>
      </c>
      <c r="F17" s="1" t="s">
        <v>71</v>
      </c>
    </row>
    <row r="18" spans="2:6" x14ac:dyDescent="0.2">
      <c r="B18" t="s">
        <v>12</v>
      </c>
      <c r="C18">
        <f t="shared" si="0"/>
        <v>1</v>
      </c>
      <c r="D18" s="4">
        <v>1</v>
      </c>
      <c r="E18" s="4"/>
      <c r="F18" s="1" t="s">
        <v>71</v>
      </c>
    </row>
    <row r="19" spans="2:6" x14ac:dyDescent="0.2">
      <c r="B19" t="s">
        <v>13</v>
      </c>
      <c r="C19">
        <f t="shared" si="0"/>
        <v>1</v>
      </c>
      <c r="E19" s="4">
        <v>1</v>
      </c>
      <c r="F19" s="1" t="s">
        <v>71</v>
      </c>
    </row>
    <row r="20" spans="2:6" x14ac:dyDescent="0.2">
      <c r="B20" t="s">
        <v>38</v>
      </c>
      <c r="C20">
        <f t="shared" si="0"/>
        <v>8</v>
      </c>
      <c r="D20" s="4">
        <v>4</v>
      </c>
      <c r="E20" s="4">
        <v>4</v>
      </c>
      <c r="F20" s="1" t="s">
        <v>71</v>
      </c>
    </row>
    <row r="21" spans="2:6" x14ac:dyDescent="0.2">
      <c r="B21" t="s">
        <v>39</v>
      </c>
      <c r="C21">
        <f t="shared" si="0"/>
        <v>2</v>
      </c>
      <c r="D21" s="4">
        <v>1</v>
      </c>
      <c r="E21" s="4">
        <v>1</v>
      </c>
      <c r="F21" s="1" t="s">
        <v>71</v>
      </c>
    </row>
    <row r="22" spans="2:6" x14ac:dyDescent="0.2">
      <c r="B22" t="s">
        <v>40</v>
      </c>
      <c r="C22">
        <f t="shared" si="0"/>
        <v>2</v>
      </c>
      <c r="D22" s="4">
        <v>1</v>
      </c>
      <c r="E22" s="4">
        <v>1</v>
      </c>
      <c r="F22" s="1" t="s">
        <v>71</v>
      </c>
    </row>
    <row r="24" spans="2:6" x14ac:dyDescent="0.2">
      <c r="B24" s="2" t="s">
        <v>16</v>
      </c>
    </row>
    <row r="25" spans="2:6" x14ac:dyDescent="0.2">
      <c r="B25" t="s">
        <v>18</v>
      </c>
      <c r="C25">
        <f>$C$2*D25+$C$3*E25</f>
        <v>12</v>
      </c>
      <c r="D25" s="4">
        <v>6</v>
      </c>
      <c r="E25" s="4">
        <v>6</v>
      </c>
      <c r="F25" s="1" t="s">
        <v>23</v>
      </c>
    </row>
    <row r="26" spans="2:6" x14ac:dyDescent="0.2">
      <c r="B26" t="s">
        <v>19</v>
      </c>
      <c r="C26">
        <f t="shared" si="0"/>
        <v>48</v>
      </c>
      <c r="D26" s="4">
        <v>24</v>
      </c>
      <c r="E26" s="4">
        <v>24</v>
      </c>
      <c r="F26" s="1" t="s">
        <v>24</v>
      </c>
    </row>
    <row r="27" spans="2:6" x14ac:dyDescent="0.2">
      <c r="B27" t="s">
        <v>26</v>
      </c>
      <c r="C27">
        <f t="shared" si="0"/>
        <v>24</v>
      </c>
      <c r="D27" s="4">
        <v>12</v>
      </c>
      <c r="E27" s="4">
        <v>12</v>
      </c>
      <c r="F27" s="1" t="s">
        <v>25</v>
      </c>
    </row>
    <row r="28" spans="2:6" x14ac:dyDescent="0.2">
      <c r="B28" t="s">
        <v>32</v>
      </c>
      <c r="C28">
        <f t="shared" si="0"/>
        <v>6</v>
      </c>
      <c r="D28" s="4">
        <v>3</v>
      </c>
      <c r="E28" s="4">
        <v>3</v>
      </c>
    </row>
    <row r="29" spans="2:6" x14ac:dyDescent="0.2">
      <c r="B29" t="s">
        <v>81</v>
      </c>
      <c r="C29">
        <f t="shared" si="0"/>
        <v>8</v>
      </c>
      <c r="D29" s="4">
        <v>4</v>
      </c>
      <c r="E29" s="4">
        <v>4</v>
      </c>
      <c r="F29" s="1" t="s">
        <v>80</v>
      </c>
    </row>
    <row r="31" spans="2:6" x14ac:dyDescent="0.2">
      <c r="B31" s="2" t="s">
        <v>17</v>
      </c>
    </row>
    <row r="32" spans="2:6" x14ac:dyDescent="0.2">
      <c r="B32" t="s">
        <v>0</v>
      </c>
      <c r="C32">
        <f t="shared" si="0"/>
        <v>12</v>
      </c>
      <c r="D32" s="4">
        <v>6</v>
      </c>
      <c r="E32" s="4">
        <v>6</v>
      </c>
      <c r="F32" s="1" t="s">
        <v>48</v>
      </c>
    </row>
    <row r="33" spans="2:6" x14ac:dyDescent="0.2">
      <c r="B33" t="s">
        <v>51</v>
      </c>
      <c r="C33">
        <f t="shared" si="0"/>
        <v>2</v>
      </c>
      <c r="D33" s="4">
        <v>1</v>
      </c>
      <c r="E33" s="4">
        <v>1</v>
      </c>
      <c r="F33" s="1" t="s">
        <v>53</v>
      </c>
    </row>
    <row r="34" spans="2:6" x14ac:dyDescent="0.2">
      <c r="B34" t="s">
        <v>52</v>
      </c>
      <c r="C34">
        <f t="shared" si="0"/>
        <v>2</v>
      </c>
      <c r="D34" s="4">
        <v>1</v>
      </c>
      <c r="E34" s="4">
        <v>1</v>
      </c>
      <c r="F34" s="1" t="s">
        <v>53</v>
      </c>
    </row>
    <row r="35" spans="2:6" x14ac:dyDescent="0.2">
      <c r="B35" t="s">
        <v>61</v>
      </c>
      <c r="C35">
        <f t="shared" si="0"/>
        <v>2</v>
      </c>
      <c r="D35" s="4">
        <v>1</v>
      </c>
      <c r="E35" s="4">
        <v>1</v>
      </c>
      <c r="F35" s="1" t="s">
        <v>53</v>
      </c>
    </row>
    <row r="36" spans="2:6" x14ac:dyDescent="0.2">
      <c r="B36" t="s">
        <v>82</v>
      </c>
      <c r="C36">
        <f t="shared" si="0"/>
        <v>2</v>
      </c>
      <c r="D36" s="4">
        <v>1</v>
      </c>
      <c r="E36" s="4">
        <v>1</v>
      </c>
      <c r="F36" s="1" t="s">
        <v>83</v>
      </c>
    </row>
    <row r="37" spans="2:6" x14ac:dyDescent="0.2">
      <c r="E37" s="4"/>
    </row>
    <row r="38" spans="2:6" x14ac:dyDescent="0.2">
      <c r="B38" s="2" t="s">
        <v>60</v>
      </c>
      <c r="F38" t="s">
        <v>63</v>
      </c>
    </row>
    <row r="39" spans="2:6" x14ac:dyDescent="0.2">
      <c r="B39" t="s">
        <v>33</v>
      </c>
      <c r="C39">
        <f t="shared" ref="C39:C44" si="1">$C$2*D39+$C$3*E39</f>
        <v>2</v>
      </c>
      <c r="D39" s="4">
        <v>1</v>
      </c>
      <c r="E39" s="4">
        <v>1</v>
      </c>
      <c r="F39" s="1" t="s">
        <v>6</v>
      </c>
    </row>
    <row r="40" spans="2:6" x14ac:dyDescent="0.2">
      <c r="B40" t="s">
        <v>35</v>
      </c>
      <c r="C40">
        <f t="shared" si="1"/>
        <v>2</v>
      </c>
      <c r="D40" s="4">
        <v>1</v>
      </c>
      <c r="E40" s="4">
        <v>1</v>
      </c>
      <c r="F40" s="1" t="s">
        <v>47</v>
      </c>
    </row>
    <row r="41" spans="2:6" x14ac:dyDescent="0.2">
      <c r="B41" t="s">
        <v>34</v>
      </c>
      <c r="C41">
        <f t="shared" si="1"/>
        <v>2</v>
      </c>
      <c r="D41" s="4">
        <v>1</v>
      </c>
      <c r="E41" s="4">
        <v>1</v>
      </c>
      <c r="F41" s="1" t="s">
        <v>49</v>
      </c>
    </row>
    <row r="42" spans="2:6" x14ac:dyDescent="0.2">
      <c r="B42" t="s">
        <v>30</v>
      </c>
      <c r="C42">
        <f t="shared" si="1"/>
        <v>2</v>
      </c>
      <c r="D42" s="4">
        <v>1</v>
      </c>
      <c r="E42" s="4">
        <v>1</v>
      </c>
      <c r="F42" s="1" t="s">
        <v>31</v>
      </c>
    </row>
    <row r="43" spans="2:6" x14ac:dyDescent="0.2">
      <c r="B43" t="s">
        <v>27</v>
      </c>
      <c r="C43">
        <f t="shared" si="1"/>
        <v>8</v>
      </c>
      <c r="D43" s="4">
        <v>4</v>
      </c>
      <c r="E43" s="4">
        <v>4</v>
      </c>
      <c r="F43" s="1" t="s">
        <v>28</v>
      </c>
    </row>
    <row r="44" spans="2:6" x14ac:dyDescent="0.2">
      <c r="B44" t="s">
        <v>29</v>
      </c>
      <c r="C44">
        <f t="shared" si="1"/>
        <v>2</v>
      </c>
      <c r="D44" s="4">
        <v>1</v>
      </c>
      <c r="E44" s="4">
        <v>1</v>
      </c>
      <c r="F44" s="1" t="s">
        <v>5</v>
      </c>
    </row>
    <row r="46" spans="2:6" x14ac:dyDescent="0.2">
      <c r="B46" s="2" t="s">
        <v>62</v>
      </c>
      <c r="C46">
        <v>1</v>
      </c>
    </row>
    <row r="47" spans="2:6" x14ac:dyDescent="0.2">
      <c r="B47" s="3" t="s">
        <v>4</v>
      </c>
      <c r="C47">
        <v>1</v>
      </c>
    </row>
    <row r="48" spans="2:6" x14ac:dyDescent="0.2">
      <c r="B48" s="3" t="s">
        <v>2</v>
      </c>
    </row>
    <row r="50" spans="2:6" x14ac:dyDescent="0.2">
      <c r="B50" s="2" t="s">
        <v>79</v>
      </c>
    </row>
    <row r="51" spans="2:6" ht="17" x14ac:dyDescent="0.2">
      <c r="B51" t="s">
        <v>67</v>
      </c>
      <c r="C51">
        <f t="shared" ref="C51:C54" si="2">$C$2*D51+$C$3*E51</f>
        <v>55</v>
      </c>
      <c r="D51" s="4">
        <f>55/2</f>
        <v>27.5</v>
      </c>
      <c r="E51" s="4">
        <f>55/2</f>
        <v>27.5</v>
      </c>
      <c r="F51" s="8"/>
    </row>
    <row r="52" spans="2:6" ht="17" x14ac:dyDescent="0.2">
      <c r="B52" t="s">
        <v>68</v>
      </c>
      <c r="C52">
        <f t="shared" si="2"/>
        <v>58</v>
      </c>
      <c r="D52" s="4">
        <f>58/2</f>
        <v>29</v>
      </c>
      <c r="E52" s="4">
        <f>58/2</f>
        <v>29</v>
      </c>
      <c r="F52" s="8"/>
    </row>
    <row r="53" spans="2:6" ht="17" x14ac:dyDescent="0.2">
      <c r="B53" t="s">
        <v>69</v>
      </c>
      <c r="C53">
        <f t="shared" si="2"/>
        <v>66</v>
      </c>
      <c r="D53" s="4">
        <v>33</v>
      </c>
      <c r="E53" s="4">
        <v>33</v>
      </c>
      <c r="F53" s="8"/>
    </row>
    <row r="54" spans="2:6" x14ac:dyDescent="0.2">
      <c r="B54" t="s">
        <v>70</v>
      </c>
      <c r="C54">
        <f t="shared" si="2"/>
        <v>126</v>
      </c>
      <c r="D54" s="4">
        <f>126/2</f>
        <v>63</v>
      </c>
      <c r="E54" s="4">
        <f>126/2</f>
        <v>63</v>
      </c>
    </row>
  </sheetData>
  <hyperlinks>
    <hyperlink ref="F25" r:id="rId1" xr:uid="{13FB122D-0FED-1349-90B9-221BC590DC5C}"/>
    <hyperlink ref="F26" r:id="rId2" xr:uid="{EF523FE1-0C63-A944-AF6E-31D6D89950CF}"/>
    <hyperlink ref="F27" r:id="rId3" xr:uid="{A0714A2B-EF63-F240-A921-36F4B00EF898}"/>
    <hyperlink ref="F33" r:id="rId4" xr:uid="{78E5F7DE-88B7-1D44-AC85-653F1AB3B631}"/>
    <hyperlink ref="F34" r:id="rId5" xr:uid="{7FB9A456-9508-2845-A4B6-4DEC9C4B657D}"/>
    <hyperlink ref="F44" r:id="rId6" xr:uid="{29DE5F51-B5E9-6546-B0ED-D93821AF97AE}"/>
    <hyperlink ref="F43" r:id="rId7" xr:uid="{45C3A175-09CF-3C4E-8B60-4576540511C0}"/>
    <hyperlink ref="F42" r:id="rId8" xr:uid="{BC2E6EAB-F4C8-334D-AC1D-D3F5417E6ACE}"/>
    <hyperlink ref="F39" r:id="rId9" xr:uid="{4CA5F8F4-9815-8942-B98E-8375FCA3C7B2}"/>
    <hyperlink ref="F40" r:id="rId10" xr:uid="{9DC6EDF5-311E-084A-AD02-E0859B9D1D78}"/>
    <hyperlink ref="F35" r:id="rId11" xr:uid="{4D119E3A-09A7-884C-B9FF-09D40E8F4386}"/>
    <hyperlink ref="F11" r:id="rId12" xr:uid="{69EE7F58-86AB-5C42-9D90-993C46E8D321}"/>
    <hyperlink ref="F12:F22" r:id="rId13" display="https://github.com/qlab-utwente/Quantum-Dice-by-UTwente/tree/main/3D%20print%20files/quantum%20dice%203D%20print%20parts%20TPUFrameOnly" xr:uid="{F1AB62F5-AC28-0A43-9BB4-0725CAEB4FF4}"/>
    <hyperlink ref="F36" r:id="rId14" xr:uid="{4C8607C2-3BA6-B04D-976B-810B664A7063}"/>
  </hyperlinks>
  <pageMargins left="0.7" right="0.7" top="0.75" bottom="0.75" header="0.3" footer="0.3"/>
  <legacy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F7A8-08FA-2145-BADA-18AB879783DA}">
  <dimension ref="A1:F37"/>
  <sheetViews>
    <sheetView workbookViewId="0"/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8" style="5" customWidth="1"/>
    <col min="6" max="6" width="128.1640625" bestFit="1" customWidth="1"/>
  </cols>
  <sheetData>
    <row r="1" spans="1:6" x14ac:dyDescent="0.2">
      <c r="A1" s="2" t="s">
        <v>58</v>
      </c>
      <c r="B1" s="2" t="s">
        <v>37</v>
      </c>
      <c r="C1" s="2" t="s">
        <v>59</v>
      </c>
      <c r="D1" s="6"/>
      <c r="E1" s="7"/>
      <c r="F1" s="2" t="s">
        <v>41</v>
      </c>
    </row>
    <row r="2" spans="1:6" x14ac:dyDescent="0.2">
      <c r="B2" t="s">
        <v>55</v>
      </c>
      <c r="C2">
        <v>1</v>
      </c>
      <c r="F2" t="s">
        <v>66</v>
      </c>
    </row>
    <row r="3" spans="1:6" x14ac:dyDescent="0.2">
      <c r="B3" t="s">
        <v>56</v>
      </c>
      <c r="C3">
        <v>1</v>
      </c>
      <c r="F3" t="s">
        <v>66</v>
      </c>
    </row>
    <row r="9" spans="1:6" x14ac:dyDescent="0.2">
      <c r="A9" s="2" t="s">
        <v>50</v>
      </c>
    </row>
    <row r="10" spans="1:6" x14ac:dyDescent="0.2">
      <c r="B10" s="2" t="s">
        <v>1</v>
      </c>
      <c r="C10" t="s">
        <v>3</v>
      </c>
      <c r="D10" s="4" t="s">
        <v>14</v>
      </c>
      <c r="E10" s="4" t="s">
        <v>15</v>
      </c>
      <c r="F10" t="s">
        <v>22</v>
      </c>
    </row>
    <row r="11" spans="1:6" x14ac:dyDescent="0.2">
      <c r="B11" t="s">
        <v>8</v>
      </c>
      <c r="C11">
        <f>$C$2*D11+$C$3*E11</f>
        <v>2</v>
      </c>
      <c r="D11" s="4">
        <v>1</v>
      </c>
      <c r="E11" s="4">
        <v>1</v>
      </c>
      <c r="F11" s="1" t="s">
        <v>72</v>
      </c>
    </row>
    <row r="12" spans="1:6" x14ac:dyDescent="0.2">
      <c r="B12" t="s">
        <v>7</v>
      </c>
      <c r="C12">
        <f t="shared" ref="C12:C21" si="0">$C$2*D12+$C$3*E12</f>
        <v>2</v>
      </c>
      <c r="D12" s="4">
        <v>1</v>
      </c>
      <c r="E12" s="4">
        <v>1</v>
      </c>
      <c r="F12" s="1" t="s">
        <v>72</v>
      </c>
    </row>
    <row r="13" spans="1:6" x14ac:dyDescent="0.2">
      <c r="B13" t="s">
        <v>54</v>
      </c>
      <c r="C13">
        <f t="shared" si="0"/>
        <v>2</v>
      </c>
      <c r="D13" s="4">
        <v>1</v>
      </c>
      <c r="E13" s="4">
        <v>1</v>
      </c>
      <c r="F13" s="1" t="s">
        <v>72</v>
      </c>
    </row>
    <row r="14" spans="1:6" x14ac:dyDescent="0.2">
      <c r="B14" t="s">
        <v>42</v>
      </c>
      <c r="C14">
        <f t="shared" si="0"/>
        <v>2</v>
      </c>
      <c r="D14" s="4">
        <v>1</v>
      </c>
      <c r="E14" s="4">
        <v>1</v>
      </c>
      <c r="F14" s="1" t="s">
        <v>72</v>
      </c>
    </row>
    <row r="15" spans="1:6" x14ac:dyDescent="0.2">
      <c r="B15" t="s">
        <v>43</v>
      </c>
      <c r="C15">
        <f t="shared" si="0"/>
        <v>4</v>
      </c>
      <c r="D15" s="4">
        <v>2</v>
      </c>
      <c r="E15" s="4">
        <v>2</v>
      </c>
      <c r="F15" s="1" t="s">
        <v>72</v>
      </c>
    </row>
    <row r="16" spans="1:6" x14ac:dyDescent="0.2">
      <c r="B16" t="s">
        <v>44</v>
      </c>
      <c r="C16">
        <f t="shared" si="0"/>
        <v>2</v>
      </c>
      <c r="D16" s="4">
        <v>1</v>
      </c>
      <c r="E16" s="4">
        <v>1</v>
      </c>
      <c r="F16" s="1" t="s">
        <v>72</v>
      </c>
    </row>
    <row r="17" spans="2:6" x14ac:dyDescent="0.2">
      <c r="B17" t="s">
        <v>45</v>
      </c>
      <c r="C17">
        <f t="shared" si="0"/>
        <v>1</v>
      </c>
      <c r="D17" s="4">
        <v>1</v>
      </c>
      <c r="E17" s="4"/>
      <c r="F17" s="1" t="s">
        <v>72</v>
      </c>
    </row>
    <row r="18" spans="2:6" x14ac:dyDescent="0.2">
      <c r="B18" t="s">
        <v>46</v>
      </c>
      <c r="C18">
        <f t="shared" si="0"/>
        <v>1</v>
      </c>
      <c r="E18" s="4">
        <v>1</v>
      </c>
      <c r="F18" s="1" t="s">
        <v>72</v>
      </c>
    </row>
    <row r="19" spans="2:6" x14ac:dyDescent="0.2">
      <c r="B19" t="s">
        <v>38</v>
      </c>
      <c r="C19">
        <f t="shared" si="0"/>
        <v>8</v>
      </c>
      <c r="D19" s="4">
        <v>4</v>
      </c>
      <c r="E19" s="4">
        <v>4</v>
      </c>
      <c r="F19" s="1" t="s">
        <v>72</v>
      </c>
    </row>
    <row r="20" spans="2:6" x14ac:dyDescent="0.2">
      <c r="B20" t="s">
        <v>39</v>
      </c>
      <c r="C20">
        <f t="shared" si="0"/>
        <v>2</v>
      </c>
      <c r="D20" s="4">
        <v>1</v>
      </c>
      <c r="E20" s="4">
        <v>1</v>
      </c>
      <c r="F20" s="1" t="s">
        <v>72</v>
      </c>
    </row>
    <row r="21" spans="2:6" x14ac:dyDescent="0.2">
      <c r="B21" t="s">
        <v>40</v>
      </c>
      <c r="C21">
        <f t="shared" si="0"/>
        <v>2</v>
      </c>
      <c r="D21" s="4">
        <v>1</v>
      </c>
      <c r="E21" s="4">
        <v>1</v>
      </c>
      <c r="F21" s="1" t="s">
        <v>72</v>
      </c>
    </row>
    <row r="23" spans="2:6" x14ac:dyDescent="0.2">
      <c r="B23" s="2" t="s">
        <v>16</v>
      </c>
      <c r="C23" t="s">
        <v>84</v>
      </c>
    </row>
    <row r="24" spans="2:6" x14ac:dyDescent="0.2">
      <c r="B24" s="2"/>
    </row>
    <row r="25" spans="2:6" x14ac:dyDescent="0.2">
      <c r="B25" s="2" t="s">
        <v>17</v>
      </c>
      <c r="C25" t="s">
        <v>84</v>
      </c>
    </row>
    <row r="26" spans="2:6" x14ac:dyDescent="0.2">
      <c r="E26" s="4"/>
    </row>
    <row r="27" spans="2:6" x14ac:dyDescent="0.2">
      <c r="B27" s="2" t="s">
        <v>60</v>
      </c>
      <c r="C27" t="s">
        <v>84</v>
      </c>
    </row>
    <row r="29" spans="2:6" x14ac:dyDescent="0.2">
      <c r="B29" s="2" t="s">
        <v>62</v>
      </c>
      <c r="C29" t="s">
        <v>84</v>
      </c>
    </row>
    <row r="32" spans="2:6" x14ac:dyDescent="0.2">
      <c r="B32" s="2" t="s">
        <v>79</v>
      </c>
    </row>
    <row r="33" spans="2:6" x14ac:dyDescent="0.2">
      <c r="B33" t="s">
        <v>73</v>
      </c>
      <c r="C33">
        <f t="shared" ref="C33:C36" si="1">$C$2*D33+$C$3*E33</f>
        <v>0</v>
      </c>
      <c r="E33" s="4"/>
      <c r="F33" t="s">
        <v>78</v>
      </c>
    </row>
    <row r="34" spans="2:6" x14ac:dyDescent="0.2">
      <c r="B34" t="s">
        <v>74</v>
      </c>
      <c r="C34">
        <f t="shared" si="1"/>
        <v>0</v>
      </c>
      <c r="E34" s="4"/>
      <c r="F34" t="s">
        <v>78</v>
      </c>
    </row>
    <row r="35" spans="2:6" x14ac:dyDescent="0.2">
      <c r="B35" t="s">
        <v>75</v>
      </c>
      <c r="C35">
        <f t="shared" si="1"/>
        <v>0</v>
      </c>
      <c r="E35" s="4"/>
      <c r="F35" t="s">
        <v>78</v>
      </c>
    </row>
    <row r="36" spans="2:6" x14ac:dyDescent="0.2">
      <c r="B36" t="s">
        <v>76</v>
      </c>
      <c r="C36">
        <f t="shared" si="1"/>
        <v>0</v>
      </c>
      <c r="E36" s="4"/>
      <c r="F36" t="s">
        <v>78</v>
      </c>
    </row>
    <row r="37" spans="2:6" x14ac:dyDescent="0.2">
      <c r="B37" t="s">
        <v>77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customXml/itemProps2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TPUFrameOnly</vt:lpstr>
      <vt:lpstr>allTPU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2025-11-14T11:24:20Z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